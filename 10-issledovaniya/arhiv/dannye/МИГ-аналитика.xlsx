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Обзор" sheetId="1" state="visible" r:id="rId1"/>
    <sheet name="01 · Касдев" sheetId="2" state="visible" r:id="rId2"/>
    <sheet name="02 · Что улучшить" sheetId="3" state="visible" r:id="rId3"/>
    <sheet name="03 · ТЗ сайт" sheetId="4" state="visible" r:id="rId4"/>
    <sheet name="04 · Бенчмарк RU" sheetId="5" state="visible" r:id="rId5"/>
    <sheet name="05 · Конкуренты RU" sheetId="6" state="visible" r:id="rId6"/>
    <sheet name="06 · Конкуренты ЕС-США" sheetId="7" state="visible" r:id="rId7"/>
    <sheet name="07 · Цены RU" sheetId="8" state="visible" r:id="rId8"/>
    <sheet name="08 · Юнит-экономик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"/>
    <numFmt numFmtId="165" formatCode="0.0%"/>
    <numFmt numFmtId="166" formatCode="0.0&quot;x&quot;"/>
  </numFmts>
  <fonts count="17">
    <font>
      <name val="Calibri"/>
      <family val="2"/>
      <color theme="1"/>
      <sz val="11"/>
      <scheme val="minor"/>
    </font>
    <font>
      <name val="Arial"/>
      <b val="1"/>
      <color rgb="002F3438"/>
      <sz val="15"/>
    </font>
    <font>
      <name val="Arial"/>
      <color rgb="004E6155"/>
      <sz val="10"/>
    </font>
    <font>
      <name val="Arial"/>
      <b val="1"/>
      <color rgb="002F3438"/>
      <sz val="12"/>
    </font>
    <font>
      <name val="Arial"/>
      <b val="1"/>
      <color rgb="00FFFFFF"/>
      <sz val="10"/>
    </font>
    <font>
      <name val="Arial"/>
      <color rgb="002F3438"/>
      <sz val="10"/>
    </font>
    <font>
      <name val="Arial"/>
      <b val="1"/>
      <color rgb="002F3438"/>
      <sz val="11"/>
    </font>
    <font>
      <name val="Arial"/>
      <color rgb="000000FF"/>
      <sz val="10"/>
    </font>
    <font>
      <name val="Arial"/>
      <i val="1"/>
      <color rgb="004E6155"/>
      <sz val="9"/>
    </font>
    <font>
      <name val="Arial"/>
      <b val="1"/>
      <color rgb="004E6155"/>
      <sz val="10"/>
    </font>
    <font>
      <name val="Arial"/>
      <b val="1"/>
      <color rgb="004E6155"/>
      <sz val="11"/>
    </font>
    <font>
      <name val="Arial"/>
      <b val="1"/>
      <color rgb="000000FF"/>
      <sz val="10"/>
    </font>
    <font>
      <name val="Arial"/>
      <i val="1"/>
      <color rgb="002F3438"/>
      <sz val="10"/>
    </font>
    <font>
      <name val="Arial"/>
      <b val="1"/>
      <color rgb="002F3438"/>
      <sz val="10"/>
    </font>
    <font>
      <name val="Arial"/>
      <i val="1"/>
      <color rgb="00C4552B"/>
      <sz val="9"/>
    </font>
    <font>
      <name val="Arial"/>
      <i val="1"/>
      <color rgb="002F3438"/>
      <sz val="9"/>
    </font>
    <font>
      <name val="Arial"/>
      <b val="1"/>
      <i val="1"/>
      <color rgb="002F3438"/>
      <sz val="9"/>
    </font>
  </fonts>
  <fills count="4">
    <fill>
      <patternFill/>
    </fill>
    <fill>
      <patternFill patternType="gray125"/>
    </fill>
    <fill>
      <patternFill patternType="solid">
        <fgColor rgb="004E6155"/>
      </patternFill>
    </fill>
    <fill>
      <patternFill patternType="solid">
        <fgColor rgb="00FFF3B0"/>
      </patternFill>
    </fill>
  </fills>
  <borders count="2">
    <border>
      <left/>
      <right/>
      <top/>
      <bottom/>
      <diagonal/>
    </border>
    <border>
      <left style="thin">
        <color rgb="00D7D1C8"/>
      </left>
      <right style="thin">
        <color rgb="00D7D1C8"/>
      </right>
      <top style="thin">
        <color rgb="00D7D1C8"/>
      </top>
      <bottom style="thin">
        <color rgb="00D7D1C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8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5" fillId="0" borderId="1" pivotButton="0" quotePrefix="0" xfId="0"/>
    <xf numFmtId="164" fontId="11" fillId="3" borderId="1" pivotButton="0" quotePrefix="0" xfId="0"/>
    <xf numFmtId="9" fontId="11" fillId="0" borderId="1" pivotButton="0" quotePrefix="0" xfId="0"/>
    <xf numFmtId="0" fontId="12" fillId="0" borderId="0" pivotButton="0" quotePrefix="0" xfId="0"/>
    <xf numFmtId="9" fontId="5" fillId="0" borderId="1" pivotButton="0" quotePrefix="0" xfId="0"/>
    <xf numFmtId="0" fontId="5" fillId="0" borderId="1" applyAlignment="1" pivotButton="0" quotePrefix="0" xfId="0">
      <alignment vertical="top"/>
    </xf>
    <xf numFmtId="0" fontId="11" fillId="0" borderId="1" pivotButton="0" quotePrefix="0" xfId="0"/>
    <xf numFmtId="0" fontId="13" fillId="0" borderId="1" applyAlignment="1" pivotButton="0" quotePrefix="0" xfId="0">
      <alignment vertical="top"/>
    </xf>
    <xf numFmtId="164" fontId="5" fillId="0" borderId="1" pivotButton="0" quotePrefix="0" xfId="0"/>
    <xf numFmtId="165" fontId="11" fillId="3" borderId="1" pivotButton="0" quotePrefix="0" xfId="0"/>
    <xf numFmtId="165" fontId="5" fillId="0" borderId="1" pivotButton="0" quotePrefix="0" xfId="0"/>
    <xf numFmtId="166" fontId="5" fillId="0" borderId="1" pivotButton="0" quotePrefix="0" xfId="0"/>
    <xf numFmtId="0" fontId="14" fillId="0" borderId="0" applyAlignment="1" pivotButton="0" quotePrefix="0" xfId="0">
      <alignment vertical="top" wrapText="1"/>
    </xf>
    <xf numFmtId="0" fontId="9" fillId="0" borderId="0" applyAlignment="1" pivotButton="0" quotePrefix="0" xfId="0">
      <alignment wrapText="1"/>
    </xf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2" customWidth="1" min="3" max="3"/>
    <col width="20" customWidth="1" min="4" max="4"/>
    <col width="46" customWidth="1" min="5" max="5"/>
  </cols>
  <sheetData>
    <row r="1" ht="30" customHeight="1">
      <c r="A1" s="1" t="inlineStr">
        <is>
          <t>МИГ · Программа «Сложные случаи» — аналитический пакет</t>
        </is>
      </c>
    </row>
    <row r="2" ht="28" customHeight="1">
      <c r="A2" s="2" t="inlineStr">
        <is>
          <t>Международный институт гештальта. Подготовил: команда Riich (Рич). Дата: август 2026. Статус: рабочая версия для обсуждения. Часть цифр — гипотезы/ждут подтверждения от МИГа (помечено).</t>
        </is>
      </c>
    </row>
    <row r="4">
      <c r="A4" s="3" t="inlineStr">
        <is>
          <t>Содержание — 8 блоков</t>
        </is>
      </c>
    </row>
    <row r="5" ht="26" customHeight="1">
      <c r="A5" s="4" t="inlineStr">
        <is>
          <t>#</t>
        </is>
      </c>
      <c r="B5" s="4" t="inlineStr">
        <is>
          <t>Блок</t>
        </is>
      </c>
      <c r="C5" s="4" t="inlineStr">
        <is>
          <t>Что внутри</t>
        </is>
      </c>
      <c r="D5" s="4" t="inlineStr">
        <is>
          <t>Статус</t>
        </is>
      </c>
      <c r="E5" s="4" t="inlineStr">
        <is>
          <t>Источник / что нужно от МИГа</t>
        </is>
      </c>
    </row>
    <row r="6">
      <c r="A6" s="5" t="inlineStr">
        <is>
          <t>01</t>
        </is>
      </c>
      <c r="B6" s="5" t="inlineStr">
        <is>
          <t>Касдев — готовая страница</t>
        </is>
      </c>
      <c r="C6" s="5" t="inlineStr">
        <is>
          <t>Протокол интервью + скринер + опрос + лист фиксации. Клиент проводит сам.</t>
        </is>
      </c>
      <c r="D6" s="5" t="inlineStr">
        <is>
          <t>Готово к использованию</t>
        </is>
      </c>
      <c r="E6" s="5" t="inlineStr">
        <is>
          <t>Гайд Рича; нужны согласия респондентов</t>
        </is>
      </c>
    </row>
    <row r="7">
      <c r="A7" s="5" t="inlineStr">
        <is>
          <t>02</t>
        </is>
      </c>
      <c r="B7" s="5" t="inlineStr">
        <is>
          <t>Что есть / что улучшить</t>
        </is>
      </c>
      <c r="C7" s="5" t="inlineStr">
        <is>
          <t>Мягкий разбор «как сейчас → видение», по 8 зонам, с обоснованием.</t>
        </is>
      </c>
      <c r="D7" s="5" t="inlineStr">
        <is>
          <t>Готово (рекомендации)</t>
        </is>
      </c>
      <c r="E7" s="5" t="inlineStr">
        <is>
          <t>Инсайты касдева + диагноз + рынок</t>
        </is>
      </c>
    </row>
    <row r="8">
      <c r="A8" s="5" t="inlineStr">
        <is>
          <t>03</t>
        </is>
      </c>
      <c r="B8" s="5" t="inlineStr">
        <is>
          <t>ТЗ на новый сайт + разбор старого</t>
        </is>
      </c>
      <c r="C8" s="5" t="inlineStr">
        <is>
          <t>Сравнение старое↔новое ТЗ по параметрам + новое ТЗ.</t>
        </is>
      </c>
      <c r="D8" s="5" t="inlineStr">
        <is>
          <t>Готово; старое ТЗ — частично</t>
        </is>
      </c>
      <c r="E8" s="5" t="inlineStr">
        <is>
          <t>Прислать формальное старое ТЗ, если есть</t>
        </is>
      </c>
    </row>
    <row r="9">
      <c r="A9" s="5" t="inlineStr">
        <is>
          <t>04</t>
        </is>
      </c>
      <c r="B9" s="5" t="inlineStr">
        <is>
          <t>Бенчмарк RU-продуктов (мир+СНГ)</t>
        </is>
      </c>
      <c r="C9" s="5" t="inlineStr">
        <is>
          <t>Русскоязычные продукты обучения терапевтов: чему учиться.</t>
        </is>
      </c>
      <c r="D9" s="5" t="inlineStr">
        <is>
          <t>Готово (перв. проход)</t>
        </is>
      </c>
      <c r="E9" s="5" t="inlineStr">
        <is>
          <t>Уточнить цены части игроков</t>
        </is>
      </c>
    </row>
    <row r="10">
      <c r="A10" s="5" t="inlineStr">
        <is>
          <t>05</t>
        </is>
      </c>
      <c r="B10" s="5" t="inlineStr">
        <is>
          <t>Конкуренты RU (анализ)</t>
        </is>
      </c>
      <c r="C10" s="5" t="inlineStr">
        <is>
          <t>Институты vs фабрики: оффер, сила, слабость, угроза.</t>
        </is>
      </c>
      <c r="D10" s="5" t="inlineStr">
        <is>
          <t>Готово</t>
        </is>
      </c>
      <c r="E10" s="5" t="inlineStr">
        <is>
          <t>—</t>
        </is>
      </c>
    </row>
    <row r="11">
      <c r="A11" s="5" t="inlineStr">
        <is>
          <t>06</t>
        </is>
      </c>
      <c r="B11" s="5" t="inlineStr">
        <is>
          <t>Конкуренты ЕС/США</t>
        </is>
      </c>
      <c r="C11" s="5" t="inlineStr">
        <is>
          <t>Гештальт-программы Европы/США: цены, аккредитация, вывод.</t>
        </is>
      </c>
      <c r="D11" s="5" t="inlineStr">
        <is>
          <t>Готово</t>
        </is>
      </c>
      <c r="E11" s="5" t="inlineStr">
        <is>
          <t>—</t>
        </is>
      </c>
    </row>
    <row r="12">
      <c r="A12" s="5" t="inlineStr">
        <is>
          <t>07</t>
        </is>
      </c>
      <c r="B12" s="5" t="inlineStr">
        <is>
          <t>Цены для RU-аудитории</t>
        </is>
      </c>
      <c r="C12" s="5" t="inlineStr">
        <is>
          <t>Ценовые якоря рынка + рекомендация по позиционированию цены.</t>
        </is>
      </c>
      <c r="D12" s="5" t="inlineStr">
        <is>
          <t>Готово (гипотеза)</t>
        </is>
      </c>
      <c r="E12" s="5" t="inlineStr">
        <is>
          <t>Подтвердить финальные цены/курс валют</t>
        </is>
      </c>
    </row>
    <row r="13">
      <c r="A13" s="5" t="inlineStr">
        <is>
          <t>08</t>
        </is>
      </c>
      <c r="B13" s="5" t="inlineStr">
        <is>
          <t>Юнит-экономика + бюджет + сроки</t>
        </is>
      </c>
      <c r="C13" s="5" t="inlineStr">
        <is>
          <t>Модель на формулах: выручка, маржа, CAC, ROAS, бюджет рекламы, таймлайн.</t>
        </is>
      </c>
      <c r="D13" s="5" t="inlineStr">
        <is>
          <t>Готово (сценарий-база)</t>
        </is>
      </c>
      <c r="E13" s="5" t="inlineStr">
        <is>
          <t>Данные Ф0: старые метрики CPL/конверсии</t>
        </is>
      </c>
    </row>
    <row r="15">
      <c r="A15" s="6" t="inlineStr">
        <is>
          <t>Легенда цветов (в листе 08 «Юнит-экономика»)</t>
        </is>
      </c>
    </row>
    <row r="16">
      <c r="A16" s="7" t="inlineStr">
        <is>
          <t>Синий текст — вводные, которые можно менять (цены, доли, конверсии)</t>
        </is>
      </c>
    </row>
    <row r="17">
      <c r="A17" s="8" t="inlineStr">
        <is>
          <t>Чёрный текст — формулы (считаются автоматически)</t>
        </is>
      </c>
    </row>
    <row r="18">
      <c r="A18" s="9" t="inlineStr">
        <is>
          <t>Жёлтая заливка — ключевые допущения / проверить у МИГа</t>
        </is>
      </c>
    </row>
    <row r="20" ht="30" customHeight="1">
      <c r="A20" s="10" t="inlineStr">
        <is>
          <t>Принцип честности (Канон 044): факты/цены не выдумываем. Где данные — гипотеза или требуют подтверждения, это прямо помечено. Заменяем на реальные, как только МИГ даст вводные.</t>
        </is>
      </c>
    </row>
  </sheetData>
  <mergeCells count="6">
    <mergeCell ref="A20:E20"/>
    <mergeCell ref="A1:Z1"/>
    <mergeCell ref="A16:E16"/>
    <mergeCell ref="A2:Z2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0" customWidth="1" min="2" max="2"/>
    <col width="30" customWidth="1" min="3" max="3"/>
    <col width="20" customWidth="1" min="4" max="4"/>
    <col width="20" customWidth="1" min="5" max="5"/>
    <col width="20" customWidth="1" min="6" max="6"/>
    <col width="20" customWidth="1" min="7" max="7"/>
    <col width="30" customWidth="1" min="8" max="8"/>
  </cols>
  <sheetData>
    <row r="1" ht="30" customHeight="1">
      <c r="A1" s="1" t="inlineStr">
        <is>
          <t>01 · Касдев — готовая страница для интервью с терапевтами</t>
        </is>
      </c>
    </row>
    <row r="2" ht="28" customHeight="1">
      <c r="A2" s="2" t="inlineStr">
        <is>
          <t>Цель: понять НАСТОЯЩИЕ боли, язык, критерии выбора и триггеры покупки (JTBD). 10–15 интервью по 30–40 мин, Zoom, 1-на-1. Запись с согласия. Ведёт интервьюер, Рич сводит инсайты. Не продаём и не защищаем программу — исследуем.</t>
        </is>
      </c>
    </row>
    <row r="4">
      <c r="A4" s="3" t="inlineStr">
        <is>
          <t>5 правил интервью</t>
        </is>
      </c>
    </row>
    <row r="5" ht="26" customHeight="1">
      <c r="A5" s="4" t="inlineStr">
        <is>
          <t>#</t>
        </is>
      </c>
      <c r="B5" s="4" t="inlineStr">
        <is>
          <t>Правило</t>
        </is>
      </c>
    </row>
    <row r="6">
      <c r="A6" s="5" t="n">
        <v>1</v>
      </c>
      <c r="B6" s="5" t="inlineStr">
        <is>
          <t>Не продавать и не защищать программу. Мы исследуем, а не презентуем.</t>
        </is>
      </c>
    </row>
    <row r="7">
      <c r="A7" s="5" t="n">
        <v>2</v>
      </c>
      <c r="B7" s="5" t="inlineStr">
        <is>
          <t>Про прошлое поведение, не гипотезы: «Расскажите, когда в последний раз…», а не «Купили бы вы…».</t>
        </is>
      </c>
    </row>
    <row r="8">
      <c r="A8" s="5" t="n">
        <v>3</v>
      </c>
      <c r="B8" s="5" t="inlineStr">
        <is>
          <t>Копать «почему» 3–5 раз — за первым ответом настоящая причина.</t>
        </is>
      </c>
    </row>
    <row r="9">
      <c r="A9" s="5" t="n">
        <v>4</v>
      </c>
      <c r="B9" s="5" t="inlineStr">
        <is>
          <t>Молчать и слушать: пусть говорит 80% времени. Фиксировать ДОСЛОВНЫЕ формулировки — это язык будущих креативов.</t>
        </is>
      </c>
    </row>
    <row r="10">
      <c r="A10" s="5" t="n">
        <v>5</v>
      </c>
      <c r="B10" s="5" t="inlineStr">
        <is>
          <t>Не подсказывать слова. Их лексикон важнее нашего.</t>
        </is>
      </c>
    </row>
    <row r="12">
      <c r="A12" s="3" t="inlineStr">
        <is>
          <t>Скринер (кого зовём)</t>
        </is>
      </c>
    </row>
    <row r="13" ht="42" customHeight="1">
      <c r="A13" s="11" t="inlineStr">
        <is>
          <t>Приоритет — сегмент №1: практикующие гештальт-терапевты 1–5 лет практики, кто хочет растить практику. Плюс по 2–3: студенты последнего года · с перерывом в практике · из смежных направлений (экзистенц./психодинам.). Разброс по гео/языку.</t>
        </is>
      </c>
    </row>
    <row r="15">
      <c r="A15" s="3" t="inlineStr">
        <is>
          <t>Блоки вопросов (гид интервью)</t>
        </is>
      </c>
    </row>
    <row r="16" ht="26" customHeight="1">
      <c r="A16" s="4" t="inlineStr">
        <is>
          <t>Блок</t>
        </is>
      </c>
      <c r="B16" s="4" t="inlineStr">
        <is>
          <t>Вопросы</t>
        </is>
      </c>
    </row>
    <row r="17">
      <c r="A17" s="5" t="inlineStr">
        <is>
          <t>A. Контекст и практика</t>
        </is>
      </c>
      <c r="B17" s="5" t="inlineStr">
        <is>
          <t>Расскажите про вашу практику сейчас: сколько клиентов, какие запросы, как давно? · Что радует, а что фрустрирует?</t>
        </is>
      </c>
    </row>
    <row r="18">
      <c r="A18" s="5" t="inlineStr">
        <is>
          <t>B. Боль со сложными кейсами (ядро)</t>
        </is>
      </c>
      <c r="B18" s="5" t="inlineStr">
        <is>
          <t>Вспомните последний случай, когда запрос вас напугал / «не тяну». Что это было? Что сделали? · Какие запросы НЕ берёте / боитесь брать и почему? · Что происходит, когда попадается тема, в которой не разбираетесь (РПП, зависимости, горе, травма)? · Что теряете из-за этого (клиентов, доход, уверенность, репутацию)?</t>
        </is>
      </c>
    </row>
    <row r="19">
      <c r="A19" s="5" t="inlineStr">
        <is>
          <t>C. Что уже пробовали</t>
        </is>
      </c>
      <c r="B19" s="5" t="inlineStr">
        <is>
          <t>Как добираете квалификацию: курсы, супервизия, книги, интенсивы? Что заходило, что нет? · Когда последний раз платили за обучение/супервизию? Как выбирали, сколько отдали, что решило? · Что разочаровало в прошлом обучении?</t>
        </is>
      </c>
    </row>
    <row r="20">
      <c r="A20" s="5" t="inlineStr">
        <is>
          <t>D. Критерии выбора и триггеры</t>
        </is>
      </c>
      <c r="B20" s="5" t="inlineStr">
        <is>
          <t>Что главное при выборе программы? (ранжировать: тема, ведущие, супервизия, сертификат/аккредитация, формат, цена, комьюнити) · Насколько важна аккредитация EAGT? Что даёт на практике? · Что заставило бы сказать «да» дорогой годовой программе? Что останавливает?</t>
        </is>
      </c>
    </row>
    <row r="21">
      <c r="A21" s="5" t="inlineStr">
        <is>
          <t>E. Рост практики / деньги</t>
        </is>
      </c>
      <c r="B21" s="5" t="inlineStr">
        <is>
          <t>Как привлекаете клиентов? Хотели бы больше/дороже? Что мешает? · Готовы платить за обучение, которое влияет на доход/чек? Сколько это «стоит» для вас?</t>
        </is>
      </c>
    </row>
    <row r="22">
      <c r="A22" s="5" t="inlineStr">
        <is>
          <t>F. Формат и цена (мягко, в конце)</t>
        </is>
      </c>
      <c r="B22" s="5" t="inlineStr">
        <is>
          <t>Онлайн, пятница+понедельник, окт–май — как ложится в вашу жизнь? · Реакция на вилку €469–€2379 (без защиты): что первое приходит в голову?</t>
        </is>
      </c>
    </row>
    <row r="23">
      <c r="A23" s="5" t="inlineStr">
        <is>
          <t>G. Язык (собрать дословно)</t>
        </is>
      </c>
      <c r="B23" s="5" t="inlineStr">
        <is>
          <t>Как бы вы сами описали, чего не хватает в практике? (записать точные слова)</t>
        </is>
      </c>
    </row>
    <row r="25">
      <c r="A25" s="3" t="inlineStr">
        <is>
          <t>Лист фиксации после каждого интервью (заполнять сразу)</t>
        </is>
      </c>
    </row>
    <row r="26" ht="26" customHeight="1">
      <c r="A26" s="4" t="inlineStr">
        <is>
          <t>Респондент</t>
        </is>
      </c>
      <c r="B26" s="4" t="inlineStr">
        <is>
          <t>Сегмент</t>
        </is>
      </c>
      <c r="C26" s="4" t="inlineStr">
        <is>
          <t>3 главные боли (цитатами)</t>
        </is>
      </c>
      <c r="D26" s="4" t="inlineStr">
        <is>
          <t>Что уже пробовал</t>
        </is>
      </c>
      <c r="E26" s="4" t="inlineStr">
        <is>
          <t>Критерии выбора (ранг)</t>
        </is>
      </c>
      <c r="F26" s="4" t="inlineStr">
        <is>
          <t>Возражения</t>
        </is>
      </c>
      <c r="G26" s="4" t="inlineStr">
        <is>
          <t>Триггеры покупки</t>
        </is>
      </c>
      <c r="H26" s="4" t="inlineStr">
        <is>
          <t>Дословные фразы для креативов</t>
        </is>
      </c>
    </row>
    <row r="27">
      <c r="A27" s="12" t="inlineStr">
        <is>
          <t>Пример: Маша К.</t>
        </is>
      </c>
      <c r="B27" s="12" t="inlineStr">
        <is>
          <t>Практик 1–5 лет</t>
        </is>
      </c>
      <c r="C27" s="12" t="inlineStr">
        <is>
          <t>«не упадёшь, не рассыпешься» / страх РПП / …</t>
        </is>
      </c>
      <c r="D27" s="12" t="inlineStr">
        <is>
          <t>курсы, супервизия</t>
        </is>
      </c>
      <c r="E27" s="12" t="inlineStr">
        <is>
          <t>практика&gt;лекции, сертификат, комьюнити</t>
        </is>
      </c>
      <c r="F27" s="12" t="inlineStr">
        <is>
          <t>дорого; тайм-зоны</t>
        </is>
      </c>
      <c r="G27" s="12" t="inlineStr">
        <is>
          <t>завершить этап; не в одиночку</t>
        </is>
      </c>
      <c r="H27" s="12" t="inlineStr">
        <is>
          <t>«от трёх до пятнадцати доросла»</t>
        </is>
      </c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  <c r="H28" s="5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  <c r="H32" s="5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5">
      <c r="A35" s="3" t="inlineStr">
        <is>
          <t>Быстрый опрос по базе (8–10 вопросов, для количества)</t>
        </is>
      </c>
    </row>
    <row r="36" ht="26" customHeight="1">
      <c r="A36" s="4" t="inlineStr">
        <is>
          <t>#</t>
        </is>
      </c>
      <c r="B36" s="4" t="inlineStr">
        <is>
          <t>Вопрос опроса</t>
        </is>
      </c>
    </row>
    <row r="37">
      <c r="A37" s="5" t="n">
        <v>1</v>
      </c>
      <c r="B37" s="5" t="inlineStr">
        <is>
          <t>Стаж практики (0–1 / 1–3 / 3–5 / 5+)</t>
        </is>
      </c>
    </row>
    <row r="38">
      <c r="A38" s="5" t="n">
        <v>2</v>
      </c>
      <c r="B38" s="5" t="inlineStr">
        <is>
          <t>Сколько клиентов в неделю</t>
        </is>
      </c>
    </row>
    <row r="39">
      <c r="A39" s="5" t="n">
        <v>3</v>
      </c>
      <c r="B39" s="5" t="inlineStr">
        <is>
          <t>Топ-3 запроса, которые боитесь/не берёте (из 16 тем + «другое»)</t>
        </is>
      </c>
    </row>
    <row r="40">
      <c r="A40" s="5" t="n">
        <v>4</v>
      </c>
      <c r="B40" s="5" t="inlineStr">
        <is>
          <t>Что важнее при выборе обучения (ранжирование)</t>
        </is>
      </c>
    </row>
    <row r="41">
      <c r="A41" s="5" t="n">
        <v>5</v>
      </c>
      <c r="B41" s="5" t="inlineStr">
        <is>
          <t>Сколько платили за последнее обучение</t>
        </is>
      </c>
    </row>
    <row r="42">
      <c r="A42" s="5" t="n">
        <v>6</v>
      </c>
      <c r="B42" s="5" t="inlineStr">
        <is>
          <t>Важна ли аккредитация EAGT (1–5)</t>
        </is>
      </c>
    </row>
    <row r="43">
      <c r="A43" s="5" t="n">
        <v>7</v>
      </c>
      <c r="B43" s="5" t="inlineStr">
        <is>
          <t>Что останавливает от продвинутого обучения (открытый)</t>
        </is>
      </c>
    </row>
    <row r="44">
      <c r="A44" s="5" t="n">
        <v>8</v>
      </c>
      <c r="B44" s="5" t="inlineStr">
        <is>
          <t>Комфортный бюджет на годовую программу</t>
        </is>
      </c>
    </row>
    <row r="45">
      <c r="A45" s="5" t="n">
        <v>9</v>
      </c>
      <c r="B45" s="5" t="inlineStr">
        <is>
          <t>Откуда узнаёте о курсах</t>
        </is>
      </c>
    </row>
    <row r="46">
      <c r="A46" s="5" t="n">
        <v>10</v>
      </c>
      <c r="B46" s="5" t="inlineStr">
        <is>
          <t>Стаж и страна</t>
        </is>
      </c>
    </row>
  </sheetData>
  <mergeCells count="3">
    <mergeCell ref="A1:Z1"/>
    <mergeCell ref="A13:F13"/>
    <mergeCell ref="A2:Z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36" customWidth="1" min="4" max="4"/>
  </cols>
  <sheetData>
    <row r="1" ht="30" customHeight="1">
      <c r="A1" s="1" t="inlineStr">
        <is>
          <t>02 · Что есть / что улучшить — рекомендации и видение</t>
        </is>
      </c>
    </row>
    <row r="2" ht="28" customHeight="1">
      <c r="A2" s="2" t="inlineStr">
        <is>
          <t>Мягкий разбор «как сейчас → каким видим». Не критика, а направление. Обоснование — из касдева, диагноза и рынка.</t>
        </is>
      </c>
    </row>
    <row r="4" ht="26" customHeight="1">
      <c r="A4" s="4" t="inlineStr">
        <is>
          <t>Зона</t>
        </is>
      </c>
      <c r="B4" s="4" t="inlineStr">
        <is>
          <t>Как сейчас</t>
        </is>
      </c>
      <c r="C4" s="4" t="inlineStr">
        <is>
          <t>Что улучшить (видение)</t>
        </is>
      </c>
      <c r="D4" s="4" t="inlineStr">
        <is>
          <t>Почему (инсайт / источник)</t>
        </is>
      </c>
    </row>
    <row r="5">
      <c r="A5" s="5" t="inlineStr">
        <is>
          <t>Бренд / оффер</t>
        </is>
      </c>
      <c r="B5" s="5" t="inlineStr">
        <is>
          <t>«Программа повышения квалификации» — обезличенно, без имени и крючка. Открывается абстрактным абзацем.</t>
        </is>
      </c>
      <c r="C5" s="5" t="inlineStr">
        <is>
          <t>Именованный флагман «Сложные случаи» + ядро-обещание «сложный клиент приходит — а ты держишь форму». Категория «мульти-специализация».</t>
        </is>
      </c>
      <c r="D5" s="5" t="inlineStr">
        <is>
          <t>Диагноз №1: нет бренда/оффера. Касдев: язык «не упадёшь, не рассыпешься».</t>
        </is>
      </c>
    </row>
    <row r="6">
      <c r="A6" s="5" t="inlineStr">
        <is>
          <t>ЦА</t>
        </is>
      </c>
      <c r="B6" s="5" t="inlineStr">
        <is>
          <t>4 сегмента сразу (студенты / практики / с перерывом / смежные) — сообщение не бьёт точно.</t>
        </is>
      </c>
      <c r="C6" s="5" t="inlineStr">
        <is>
          <t>Один сегмент №1 (практики 1–5 лет, растят практику), остальным — отдельные «двери».</t>
        </is>
      </c>
      <c r="D6" s="5" t="inlineStr">
        <is>
          <t>Confused mind doesn't buy. Рыночный паттерн: точность сообщения.</t>
        </is>
      </c>
    </row>
    <row r="7">
      <c r="A7" s="5" t="inlineStr">
        <is>
          <t>Структура лендинга</t>
        </is>
      </c>
      <c r="B7" s="5" t="inlineStr">
        <is>
          <t>Плотный список: 16 тем × 8 модулей × 11 ведущих × 4 тарифа × бонусы — стеной.</t>
        </is>
      </c>
      <c r="C7" s="5" t="inlineStr">
        <is>
          <t>10 экранов-историй: узнавание боли → «не курс лекций» → как учим кейсами → карта тем → формат → ведущие → сертификат → тарифы → мягкий вход.</t>
        </is>
      </c>
      <c r="D7" s="5" t="inlineStr">
        <is>
          <t>Перегруз → паралич. Прототип лендинга собран.</t>
        </is>
      </c>
    </row>
    <row r="8">
      <c r="A8" s="5" t="inlineStr">
        <is>
          <t>Как учим</t>
        </is>
      </c>
      <c r="B8" s="5" t="inlineStr">
        <is>
          <t>«Учебно-практическая группа», формат подан нейтрально.</t>
        </is>
      </c>
      <c r="C8" s="5" t="inlineStr">
        <is>
          <t>Явно: «учим на кейсах и супервизии, а не лекциями». Конференция случаев в топ.</t>
        </is>
      </c>
      <c r="D8" s="5" t="inlineStr">
        <is>
          <t>Сильнейший product-сигнал касдева: чистая лекция «топит», кейсы заходят.</t>
        </is>
      </c>
    </row>
    <row r="9">
      <c r="A9" s="5" t="inlineStr">
        <is>
          <t>Воронка</t>
        </is>
      </c>
      <c r="B9" s="5" t="inlineStr">
        <is>
          <t>Реклама, вероятно, вела холод в лоб на платный ленд (€2000).</t>
        </is>
      </c>
      <c r="C9" s="5" t="inlineStr">
        <is>
          <t>Реклама ведёт на 9 открытых лекций (лид-магнит уже есть) → прогрев → тарифы → ретаргет.</t>
        </is>
      </c>
      <c r="D9" s="5" t="inlineStr">
        <is>
          <t>Лид-магнит есть, но не использован как холодный вход. Барьер цены.</t>
        </is>
      </c>
    </row>
    <row r="10">
      <c r="A10" s="5" t="inlineStr">
        <is>
          <t>Цена</t>
        </is>
      </c>
      <c r="B10" s="5" t="inlineStr">
        <is>
          <t>Тарифы есть, но ценность не «продана» до цены; на фоне дешёвых фабрик выглядит дорого.</t>
        </is>
      </c>
      <c r="C10" s="5" t="inlineStr">
        <is>
          <t>Сначала ценность → потом цена. Тарифная лесенка (Слушатель-трипвайр → Практик рекоменд.). Early-bird как факт-срочность.</t>
        </is>
      </c>
      <c r="D10" s="5" t="inlineStr">
        <is>
          <t>Дешёвый якорь фабрик топит восприятие €2000+.</t>
        </is>
      </c>
    </row>
    <row r="11">
      <c r="A11" s="5" t="inlineStr">
        <is>
          <t>Продукт / формат</t>
        </is>
      </c>
      <c r="B11" s="5" t="inlineStr">
        <is>
          <t>Часть модулей перегружена теорией (обратная связь студентов); супервизии пересобирались.</t>
        </is>
      </c>
      <c r="C11" s="5" t="inlineStr">
        <is>
          <t>Каждый день — микс теория+практика; стабильные составы супергрупп; усилить супервизию практики (реально доставлять «рост практики»).</t>
        </is>
      </c>
      <c r="D11" s="5" t="inlineStr">
        <is>
          <t>Касдев: Денис-лекции «плыть», Настя/Хезер/кейсы — отлично; супервизия практики «не получилась».</t>
        </is>
      </c>
    </row>
    <row r="12">
      <c r="A12" s="5" t="inlineStr">
        <is>
          <t>Операционка</t>
        </is>
      </c>
      <c r="B12" s="5" t="inlineStr">
        <is>
          <t>Путаница с тайм-зонами, расписание меняли в последний момент.</t>
        </is>
      </c>
      <c r="C12" s="5" t="inlineStr">
        <is>
          <t>Единый ориентир по московскому времени + заранее; аккуратный личный кабинет.</t>
        </is>
      </c>
      <c r="D12" s="5" t="inlineStr">
        <is>
          <t>Касдев: двойной перевод времени, «народ возмущался».</t>
        </is>
      </c>
    </row>
    <row r="14">
      <c r="A14" s="13" t="inlineStr">
        <is>
          <t>Тон: это видение, а не приговор. Финализируем после серии касдевов и данных Ф0.</t>
        </is>
      </c>
    </row>
  </sheetData>
  <mergeCells count="3">
    <mergeCell ref="A1:Z1"/>
    <mergeCell ref="A14:D14"/>
    <mergeCell ref="A2:Z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38" customWidth="1" min="3" max="3"/>
    <col width="32" customWidth="1" min="4" max="4"/>
  </cols>
  <sheetData>
    <row r="1" ht="30" customHeight="1">
      <c r="A1" s="1" t="inlineStr">
        <is>
          <t>03 · ТЗ на новый сайт · разбор старого · сравнение</t>
        </is>
      </c>
    </row>
    <row r="2" ht="28" customHeight="1">
      <c r="A2" s="2" t="inlineStr">
        <is>
          <t>Слева — как задавался старый лендинг (по текущей странице + docx «Первые правки», 38 п.). Справа — новое ТЗ (гипотеза, mig-landing-tz). ⚠️ Если есть формальное старое ТЗ документом — пришлите, дополним аудит.</t>
        </is>
      </c>
    </row>
    <row r="4" ht="26" customHeight="1">
      <c r="A4" s="4" t="inlineStr">
        <is>
          <t>Параметр</t>
        </is>
      </c>
      <c r="B4" s="4" t="inlineStr">
        <is>
          <t>Старое (как есть / «Первые правки»)</t>
        </is>
      </c>
      <c r="C4" s="4" t="inlineStr">
        <is>
          <t>Новое ТЗ (гипотеза Riich)</t>
        </is>
      </c>
      <c r="D4" s="4" t="inlineStr">
        <is>
          <t>Почему изменили</t>
        </is>
      </c>
    </row>
    <row r="5">
      <c r="A5" s="5" t="inlineStr">
        <is>
          <t>Цель страницы</t>
        </is>
      </c>
      <c r="B5" s="5" t="inlineStr">
        <is>
          <t>Рассказать о программе, показать все модули/тарифы.</t>
        </is>
      </c>
      <c r="C5" s="5" t="inlineStr">
        <is>
          <t>Довести до мягкого входа (9 лекций), продать ценность за 5 сек.</t>
        </is>
      </c>
      <c r="D5" s="5" t="inlineStr">
        <is>
          <t>Холод в лоб на €2000 не конвертит.</t>
        </is>
      </c>
    </row>
    <row r="6">
      <c r="A6" s="5" t="inlineStr">
        <is>
          <t>Первый экран</t>
        </is>
      </c>
      <c r="B6" s="5" t="inlineStr">
        <is>
          <t>Абстрактный заголовок о повышении квалификации.</t>
        </is>
      </c>
      <c r="C6" s="5" t="inlineStr">
        <is>
          <t>H1 «Сложный случай приходит — а ты держишь форму» + 2 CTA + тихий триплет.</t>
        </is>
      </c>
      <c r="D6" s="5" t="inlineStr">
        <is>
          <t>Нужен крючок и язык ЦА.</t>
        </is>
      </c>
    </row>
    <row r="7">
      <c r="A7" s="5" t="inlineStr">
        <is>
          <t>Сегмент</t>
        </is>
      </c>
      <c r="B7" s="5" t="inlineStr">
        <is>
          <t>Все 4 сразу.</t>
        </is>
      </c>
      <c r="C7" s="5" t="inlineStr">
        <is>
          <t>Сегмент №1 (практики 1–5 лет), остальным — двери.</t>
        </is>
      </c>
      <c r="D7" s="5" t="inlineStr">
        <is>
          <t>Точность сообщения.</t>
        </is>
      </c>
    </row>
    <row r="8">
      <c r="A8" s="5" t="inlineStr">
        <is>
          <t>Структура</t>
        </is>
      </c>
      <c r="B8" s="5" t="inlineStr">
        <is>
          <t>Списки/карусель, даты в карусели, много блоков.</t>
        </is>
      </c>
      <c r="C8" s="5" t="inlineStr">
        <is>
          <t>10 экранов-историй, карта тем карточками-«делами».</t>
        </is>
      </c>
      <c r="D8" s="5" t="inlineStr">
        <is>
          <t>Убрать перегруз.</t>
        </is>
      </c>
    </row>
    <row r="9">
      <c r="A9" s="5" t="inlineStr">
        <is>
          <t>Оффер модулей</t>
        </is>
      </c>
      <c r="B9" s="5" t="inlineStr">
        <is>
          <t>«16 тем» стеной; «Учебно-практическая группа».</t>
        </is>
      </c>
      <c r="C9" s="5" t="inlineStr">
        <is>
          <t>«Карта сложных запросов» + «учим кейсами, не лекциями» + «Супервизия случаев».</t>
        </is>
      </c>
      <c r="D9" s="5" t="inlineStr">
        <is>
          <t>Product-инсайт касдева.</t>
        </is>
      </c>
    </row>
    <row r="10">
      <c r="A10" s="5" t="inlineStr">
        <is>
          <t>Ведущие</t>
        </is>
      </c>
      <c r="B10" s="5" t="inlineStr">
        <is>
          <t>Список; фото Дениса заменить; блок Феди Конорова.</t>
        </is>
      </c>
      <c r="C10" s="5" t="inlineStr">
        <is>
          <t>Кураторская сетка (фото/имя/стаж/про что); блок Феди убрать.</t>
        </is>
      </c>
      <c r="D10" s="5" t="inlineStr">
        <is>
          <t>Совпало с «Первыми правками» + касдев (Федя «усыпляет»).</t>
        </is>
      </c>
    </row>
    <row r="11">
      <c r="A11" s="5" t="inlineStr">
        <is>
          <t>Сертификат / EAGT</t>
        </is>
      </c>
      <c r="B11" s="5" t="inlineStr">
        <is>
          <t>Строка про EAGT переформулировать (из правок).</t>
        </is>
      </c>
      <c r="C11" s="5" t="inlineStr">
        <is>
          <t>«Завершить этап + войти в сообщество»; EAGT — факт-строкой, не крючок.</t>
        </is>
      </c>
      <c r="D11" s="5" t="inlineStr">
        <is>
          <t>Касдев: EAGT не всплыл; драйвер — завершение/принадлежность.</t>
        </is>
      </c>
    </row>
    <row r="12">
      <c r="A12" s="5" t="inlineStr">
        <is>
          <t>Бонусы</t>
        </is>
      </c>
      <c r="B12" s="5" t="inlineStr">
        <is>
          <t>«Бонусный курс…» → «Дополнительный курс – 20»; «Курс в подарок».</t>
        </is>
      </c>
      <c r="C12" s="5" t="inlineStr">
        <is>
          <t>«Цифровой гештальт» (рост практики) + «Основы психоанализа» как усилители, свёрнуто.</t>
        </is>
      </c>
      <c r="D12" s="5" t="inlineStr">
        <is>
          <t>Не раздувать оффер.</t>
        </is>
      </c>
    </row>
    <row r="13">
      <c r="A13" s="5" t="inlineStr">
        <is>
          <t>Конференция</t>
        </is>
      </c>
      <c r="B13" s="5" t="inlineStr">
        <is>
          <t>Добавить блок «Участие в V конференции (июнь 2027, без доплаты)».</t>
        </is>
      </c>
      <c r="C13" s="5" t="inlineStr">
        <is>
          <t>В топ как доказательство «кейсами учим», язык «уже не так страшно».</t>
        </is>
      </c>
      <c r="D13" s="5" t="inlineStr">
        <is>
          <t>Касдев: конференцию любят.</t>
        </is>
      </c>
    </row>
    <row r="14">
      <c r="A14" s="5" t="inlineStr">
        <is>
          <t>Тарифы</t>
        </is>
      </c>
      <c r="B14" s="5" t="inlineStr">
        <is>
          <t>4 тарифа + скидки/зачёркнутые цены (просили).</t>
        </is>
      </c>
      <c r="C14" s="5" t="inlineStr">
        <is>
          <t>4 уровня, Практик «рекомендуем» воздухом; early-bird как факт, не «скидка».</t>
        </is>
      </c>
      <c r="D14" s="5" t="inlineStr">
        <is>
          <t>Анти-инфобиз, тихая роскошь.</t>
        </is>
      </c>
    </row>
    <row r="15">
      <c r="A15" s="5" t="inlineStr">
        <is>
          <t>Воронка на странице</t>
        </is>
      </c>
      <c r="B15" s="5" t="inlineStr">
        <is>
          <t>Ведёт на оплату/заявку.</t>
        </is>
      </c>
      <c r="C15" s="5" t="inlineStr">
        <is>
          <t>Мягкий вход «9 открытых лекций» в 3 местах + ретаргет.</t>
        </is>
      </c>
      <c r="D15" s="5" t="inlineStr">
        <is>
          <t>Лид-магнит как холодный вход.</t>
        </is>
      </c>
    </row>
    <row r="16">
      <c r="A16" s="5" t="inlineStr">
        <is>
          <t>Тон / бренд</t>
        </is>
      </c>
      <c r="B16" s="5" t="inlineStr">
        <is>
          <t>Институционально-нейтральный.</t>
        </is>
      </c>
      <c r="C16" s="5" t="inlineStr">
        <is>
          <t>Тёплая опора, язык коллеги, устройство «держать форму».</t>
        </is>
      </c>
      <c r="D16" s="5" t="inlineStr">
        <is>
          <t>Отстройка от фабрик и инфобиза.</t>
        </is>
      </c>
    </row>
    <row r="18">
      <c r="A18" s="13" t="inlineStr">
        <is>
          <t>Полное новое ТЗ — в knowledge/mig-landing-tz.md (10 блоков, критерии готовности, правки Совета). Прототип собран и прислан.</t>
        </is>
      </c>
    </row>
  </sheetData>
  <mergeCells count="3">
    <mergeCell ref="A1:Z1"/>
    <mergeCell ref="A18:D18"/>
    <mergeCell ref="A2:Z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0" customWidth="1" min="3" max="3"/>
    <col width="18" customWidth="1" min="4" max="4"/>
    <col width="20" customWidth="1" min="5" max="5"/>
    <col width="34" customWidth="1" min="6" max="6"/>
  </cols>
  <sheetData>
    <row r="1" ht="30" customHeight="1">
      <c r="A1" s="1" t="inlineStr">
        <is>
          <t>04 · Бенчмарк русскоязычных продуктов (мир + СНГ)</t>
        </is>
      </c>
    </row>
    <row r="2" ht="28" customHeight="1">
      <c r="A2" s="2" t="inlineStr">
        <is>
          <t>Русскоязычные продукты обучения психотерапевтов: у кого чему учиться по механике оффера/воронки/упаковки. Цены — ориентир, где известно (⚠ уточнить).</t>
        </is>
      </c>
    </row>
    <row r="4" ht="26" customHeight="1">
      <c r="A4" s="4" t="inlineStr">
        <is>
          <t>Продукт / институт</t>
        </is>
      </c>
      <c r="B4" s="4" t="inlineStr">
        <is>
          <t>Тип</t>
        </is>
      </c>
      <c r="C4" s="4" t="inlineStr">
        <is>
          <t>Что продают</t>
        </is>
      </c>
      <c r="D4" s="4" t="inlineStr">
        <is>
          <t>Формат</t>
        </is>
      </c>
      <c r="E4" s="4" t="inlineStr">
        <is>
          <t>Цена (ориентир)</t>
        </is>
      </c>
      <c r="F4" s="4" t="inlineStr">
        <is>
          <t>Что перенять / вывод</t>
        </is>
      </c>
    </row>
    <row r="5">
      <c r="A5" s="5" t="inlineStr">
        <is>
          <t>МГИ (gestalt.ru)</t>
        </is>
      </c>
      <c r="B5" s="5" t="inlineStr">
        <is>
          <t>Институт</t>
        </is>
      </c>
      <c r="C5" s="5" t="inlineStr">
        <is>
          <t>Специализации по одной (травма 210ч, зависимости, семья, сексуальность, дети); 3-я ступень.</t>
        </is>
      </c>
      <c r="D5" s="5" t="inlineStr">
        <is>
          <t>Ступени, очно/онлайн</t>
        </is>
      </c>
      <c r="E5" s="5" t="inlineStr">
        <is>
          <t>Спец. ~ десятки–сотни k₽ (⚠)</t>
        </is>
      </c>
      <c r="F5" s="5" t="inlineStr">
        <is>
          <t>Глубина по одной теме. МИГ отстраивается «арсеналом».</t>
        </is>
      </c>
    </row>
    <row r="6">
      <c r="A6" s="5" t="inlineStr">
        <is>
          <t>МИГиП (migip.ru)</t>
        </is>
      </c>
      <c r="B6" s="5" t="inlineStr">
        <is>
          <t>Институт</t>
        </is>
      </c>
      <c r="C6" s="5" t="inlineStr">
        <is>
          <t>Ступени 1–2–3 + специализация после 2-й; супервизия+личная терапия для сертификата.</t>
        </is>
      </c>
      <c r="D6" s="5" t="inlineStr">
        <is>
          <t>Ступени</t>
        </is>
      </c>
      <c r="E6" s="5" t="inlineStr">
        <is>
          <t>(⚠ уточнить)</t>
        </is>
      </c>
      <c r="F6" s="5" t="inlineStr">
        <is>
          <t>Чёткий путь к сертификату — усилить у МИГа.</t>
        </is>
      </c>
    </row>
    <row r="7">
      <c r="A7" s="5" t="inlineStr">
        <is>
          <t>МАГ, ХИГиП, МИГТиК</t>
        </is>
      </c>
      <c r="B7" s="5" t="inlineStr">
        <is>
          <t>Институты</t>
        </is>
      </c>
      <c r="C7" s="5" t="inlineStr">
        <is>
          <t>Классические ступени гештальта + отдельные специализации.</t>
        </is>
      </c>
      <c r="D7" s="5" t="inlineStr">
        <is>
          <t>Очно/онлайн</t>
        </is>
      </c>
      <c r="E7" s="5" t="inlineStr">
        <is>
          <t>(⚠)</t>
        </is>
      </c>
      <c r="F7" s="5" t="inlineStr">
        <is>
          <t>Рынок фрагментирован по одной специализации.</t>
        </is>
      </c>
    </row>
    <row r="8">
      <c r="A8" s="5" t="inlineStr">
        <is>
          <t>ЯСНО (ясно.live)</t>
        </is>
      </c>
      <c r="B8" s="5" t="inlineStr">
        <is>
          <t>Платформа/медиа</t>
        </is>
      </c>
      <c r="C8" s="5" t="inlineStr">
        <is>
          <t>Терапия + просвещение; сильный бренд, тёплый тон, редактура.</t>
        </is>
      </c>
      <c r="D8" s="5" t="inlineStr">
        <is>
          <t>Онлайн</t>
        </is>
      </c>
      <c r="E8" s="5" t="inlineStr">
        <is>
          <t>—</t>
        </is>
      </c>
      <c r="F8" s="5" t="inlineStr">
        <is>
          <t>Эталон тона/редактуры для RU-аудитории. Не конкурент по обучению.</t>
        </is>
      </c>
    </row>
    <row r="9">
      <c r="A9" s="5" t="inlineStr">
        <is>
          <t>Цифровой гештальт (МИГ)</t>
        </is>
      </c>
      <c r="B9" s="5" t="inlineStr">
        <is>
          <t>Курс (свой)</t>
        </is>
      </c>
      <c r="C9" s="5" t="inlineStr">
        <is>
          <t>Продвижение себя / рост практики. Входит бонусом в программу.</t>
        </is>
      </c>
      <c r="D9" s="5" t="inlineStr">
        <is>
          <t>Онлайн</t>
        </is>
      </c>
      <c r="E9" s="5" t="inlineStr">
        <is>
          <t>входит в тариф</t>
        </is>
      </c>
      <c r="F9" s="5" t="inlineStr">
        <is>
          <t>Свой актив — вынести как «рост практики».</t>
        </is>
      </c>
    </row>
    <row r="10">
      <c r="A10" s="5" t="inlineStr">
        <is>
          <t>НАДПО / НУСТ / МИП / smart-inc / ISO</t>
        </is>
      </c>
      <c r="B10" s="5" t="inlineStr">
        <is>
          <t>Фабрики корочек</t>
        </is>
      </c>
      <c r="C10" s="5" t="inlineStr">
        <is>
          <t>«Переподготовка гештальт с дипломом дистанционно».</t>
        </is>
      </c>
      <c r="D10" s="5" t="inlineStr">
        <is>
          <t>Онлайн/дистант</t>
        </is>
      </c>
      <c r="E10" s="5" t="inlineStr">
        <is>
          <t>от 60k₽ (15–104k₽)</t>
        </is>
      </c>
      <c r="F10" s="5" t="inlineStr">
        <is>
          <t>Дешёвый якорь + шум в выдаче. Отстройка: практики/супервизия/EAGT.</t>
        </is>
      </c>
    </row>
    <row r="11">
      <c r="A11" s="5" t="inlineStr">
        <is>
          <t>Bircham (RU-доступно)</t>
        </is>
      </c>
      <c r="B11" s="5" t="inlineStr">
        <is>
          <t>Онлайн-диплом</t>
        </is>
      </c>
      <c r="C11" s="5" t="inlineStr">
        <is>
          <t>Дистанционный диплом по гештальту.</t>
        </is>
      </c>
      <c r="D11" s="5" t="inlineStr">
        <is>
          <t>Дистант</t>
        </is>
      </c>
      <c r="E11" s="5" t="inlineStr">
        <is>
          <t>€1050–1470</t>
        </is>
      </c>
      <c r="F11" s="5" t="inlineStr">
        <is>
          <t>Международная «бумажка» без практики — противопоставить живой практикой.</t>
        </is>
      </c>
    </row>
    <row r="13" ht="30" customHeight="1">
      <c r="A13" s="14" t="inlineStr">
        <is>
          <t>Белое пятно: никто из RU-игроков не продаёт «мульти-специализацию (16 тем) + рост практики + международность/EAGT + из любой точки» в одном продукте. Это ownable-территория МИГа.</t>
        </is>
      </c>
    </row>
  </sheetData>
  <mergeCells count="3">
    <mergeCell ref="A1:Z1"/>
    <mergeCell ref="A13:F13"/>
    <mergeCell ref="A2:Z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24" customWidth="1" min="4" max="4"/>
    <col width="24" customWidth="1" min="5" max="5"/>
    <col width="22" customWidth="1" min="6" max="6"/>
    <col width="28" customWidth="1" min="7" max="7"/>
  </cols>
  <sheetData>
    <row r="1" ht="30" customHeight="1">
      <c r="A1" s="1" t="inlineStr">
        <is>
          <t>05 · Анализ русскоязычных конкурентов</t>
        </is>
      </c>
    </row>
    <row r="2" ht="28" customHeight="1">
      <c r="A2" s="2" t="inlineStr">
        <is>
          <t>Два слоя: серьёзные институты (конкурируют за «специализацию») и фабрики корочек (ценовой якорь + шум). Прямых аналогов «мульти-специализации» нет.</t>
        </is>
      </c>
    </row>
    <row r="4" ht="26" customHeight="1">
      <c r="A4" s="4" t="inlineStr">
        <is>
          <t>Конкурент</t>
        </is>
      </c>
      <c r="B4" s="4" t="inlineStr">
        <is>
          <t>Слой</t>
        </is>
      </c>
      <c r="C4" s="4" t="inlineStr">
        <is>
          <t>Оффер</t>
        </is>
      </c>
      <c r="D4" s="4" t="inlineStr">
        <is>
          <t>Сила</t>
        </is>
      </c>
      <c r="E4" s="4" t="inlineStr">
        <is>
          <t>Слабость</t>
        </is>
      </c>
      <c r="F4" s="4" t="inlineStr">
        <is>
          <t>Угроза для МИГа</t>
        </is>
      </c>
      <c r="G4" s="4" t="inlineStr">
        <is>
          <t>Что делаем</t>
        </is>
      </c>
    </row>
    <row r="5">
      <c r="A5" s="5" t="inlineStr">
        <is>
          <t>МГИ (gestalt.ru)</t>
        </is>
      </c>
      <c r="B5" s="5" t="inlineStr">
        <is>
          <t>Институты</t>
        </is>
      </c>
      <c r="C5" s="5" t="inlineStr">
        <is>
          <t>Специализации по одной, глубоко; 3-я ступень.</t>
        </is>
      </c>
      <c r="D5" s="5" t="inlineStr">
        <is>
          <t>Бренд, глубина, объём часов.</t>
        </is>
      </c>
      <c r="E5" s="5" t="inlineStr">
        <is>
          <t>Одна тема за раз; нет «роста практики».</t>
        </is>
      </c>
      <c r="F5" s="5" t="inlineStr">
        <is>
          <t>Средняя — берут глубиной.</t>
        </is>
      </c>
      <c r="G5" s="5" t="inlineStr">
        <is>
          <t>«Арсенал 16 тем» + практика в одном.</t>
        </is>
      </c>
    </row>
    <row r="6">
      <c r="A6" s="5" t="inlineStr">
        <is>
          <t>МИГиП</t>
        </is>
      </c>
      <c r="B6" s="5" t="inlineStr">
        <is>
          <t>Институты</t>
        </is>
      </c>
      <c r="C6" s="5" t="inlineStr">
        <is>
          <t>Ступени + специализация + сертификат.</t>
        </is>
      </c>
      <c r="D6" s="5" t="inlineStr">
        <is>
          <t>Понятный путь к сертификату.</t>
        </is>
      </c>
      <c r="E6" s="5" t="inlineStr">
        <is>
          <t>Академичность; локальность.</t>
        </is>
      </c>
      <c r="F6" s="5" t="inlineStr">
        <is>
          <t>Средняя.</t>
        </is>
      </c>
      <c r="G6" s="5" t="inlineStr">
        <is>
          <t>Международность + EAGT + из любой точки.</t>
        </is>
      </c>
    </row>
    <row r="7">
      <c r="A7" s="5" t="inlineStr">
        <is>
          <t>МАГ / ХИГиП / МИГТиК</t>
        </is>
      </c>
      <c r="B7" s="5" t="inlineStr">
        <is>
          <t>Институты</t>
        </is>
      </c>
      <c r="C7" s="5" t="inlineStr">
        <is>
          <t>Классические ступени.</t>
        </is>
      </c>
      <c r="D7" s="5" t="inlineStr">
        <is>
          <t>Региональные комьюнити.</t>
        </is>
      </c>
      <c r="E7" s="5" t="inlineStr">
        <is>
          <t>Разрозненность.</t>
        </is>
      </c>
      <c r="F7" s="5" t="inlineStr">
        <is>
          <t>Низкая-средняя.</t>
        </is>
      </c>
      <c r="G7" s="5" t="inlineStr">
        <is>
          <t>Держим премиум-нишу «сложных случаев».</t>
        </is>
      </c>
    </row>
    <row r="8">
      <c r="A8" s="5" t="inlineStr">
        <is>
          <t>Фабрики (НАДПО/НУСТ/МИП/smart/ISO)</t>
        </is>
      </c>
      <c r="B8" s="5" t="inlineStr">
        <is>
          <t>Фабрики</t>
        </is>
      </c>
      <c r="C8" s="5" t="inlineStr">
        <is>
          <t>«Диплом дистанционно», дёшево.</t>
        </is>
      </c>
      <c r="D8" s="5" t="inlineStr">
        <is>
          <t>Цена, доступность, реклама.</t>
        </is>
      </c>
      <c r="E8" s="5" t="inlineStr">
        <is>
          <t>Нет практики/супервизии; репутация.</t>
        </is>
      </c>
      <c r="F8" s="5" t="inlineStr">
        <is>
          <t>Косвенная: топят цену и выдачу.</t>
        </is>
      </c>
      <c r="G8" s="5" t="inlineStr">
        <is>
          <t>Ценность до цены; «мастерство, не бумажка».</t>
        </is>
      </c>
    </row>
    <row r="10" ht="28" customHeight="1">
      <c r="A10" s="14" t="inlineStr">
        <is>
          <t>Вывод: МИГ не бьётся ценой с фабриками и не копирует институты. Позиция — «мульти-специализация на кейсах + рост практики + международность», премиум над фабриками.</t>
        </is>
      </c>
    </row>
  </sheetData>
  <mergeCells count="3">
    <mergeCell ref="A1:Z1"/>
    <mergeCell ref="A10:G10"/>
    <mergeCell ref="A2:Z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6" customWidth="1" min="3" max="3"/>
    <col width="22" customWidth="1" min="4" max="4"/>
    <col width="18" customWidth="1" min="5" max="5"/>
    <col width="18" customWidth="1" min="6" max="6"/>
    <col width="30" customWidth="1" min="7" max="7"/>
  </cols>
  <sheetData>
    <row r="1" ht="30" customHeight="1">
      <c r="A1" s="1" t="inlineStr">
        <is>
          <t>06 · Конкуренты в ЕС и США</t>
        </is>
      </c>
    </row>
    <row r="2" ht="28" customHeight="1">
      <c r="A2" s="2" t="inlineStr">
        <is>
          <t>Гештальт-программы Европы и США — ориентир по цене, аккредитации и формату. Ни у кого нет русскоязычной «мульти-специализации» — это белое пятно для диаспоры.</t>
        </is>
      </c>
    </row>
    <row r="4" ht="26" customHeight="1">
      <c r="A4" s="4" t="inlineStr">
        <is>
          <t>Организация</t>
        </is>
      </c>
      <c r="B4" s="4" t="inlineStr">
        <is>
          <t>Страна</t>
        </is>
      </c>
      <c r="C4" s="4" t="inlineStr">
        <is>
          <t>Программа</t>
        </is>
      </c>
      <c r="D4" s="4" t="inlineStr">
        <is>
          <t>Цена</t>
        </is>
      </c>
      <c r="E4" s="4" t="inlineStr">
        <is>
          <t>Аккредитация</t>
        </is>
      </c>
      <c r="F4" s="4" t="inlineStr">
        <is>
          <t>Формат</t>
        </is>
      </c>
      <c r="G4" s="4" t="inlineStr">
        <is>
          <t>Вывод для МИГа</t>
        </is>
      </c>
    </row>
    <row r="5">
      <c r="A5" s="5" t="inlineStr">
        <is>
          <t>Pacific Gestalt Institute</t>
        </is>
      </c>
      <c r="B5" s="5" t="inlineStr">
        <is>
          <t>США</t>
        </is>
      </c>
      <c r="C5" s="5" t="inlineStr">
        <is>
          <t>Weekend Training + сертификация.</t>
        </is>
      </c>
      <c r="D5" s="5" t="inlineStr">
        <is>
          <t>$2 300 обучение + $400 экзамен</t>
        </is>
      </c>
      <c r="E5" s="5" t="inlineStr">
        <is>
          <t>—</t>
        </is>
      </c>
      <c r="F5" s="5" t="inlineStr">
        <is>
          <t>Онлайн/очно, выходные</t>
        </is>
      </c>
      <c r="G5" s="5" t="inlineStr">
        <is>
          <t>МИГ (€999–2499) в той же лиге по цене, но даёт 16 тем, не одну.</t>
        </is>
      </c>
    </row>
    <row r="6">
      <c r="A6" s="5" t="inlineStr">
        <is>
          <t>GATLA</t>
        </is>
      </c>
      <c r="B6" s="5" t="inlineStr">
        <is>
          <t>США</t>
        </is>
      </c>
      <c r="C6" s="5" t="inlineStr">
        <is>
          <t>Gestalt Therapy Training LA.</t>
        </is>
      </c>
      <c r="D6" s="5" t="inlineStr">
        <is>
          <t>цена по запросу</t>
        </is>
      </c>
      <c r="E6" s="5" t="inlineStr">
        <is>
          <t>—</t>
        </is>
      </c>
      <c r="F6" s="5" t="inlineStr">
        <is>
          <t>Интенсивы</t>
        </is>
      </c>
      <c r="G6" s="5" t="inlineStr">
        <is>
          <t>Премиальный интенсив; МИГ — годовой формат + супервизия.</t>
        </is>
      </c>
    </row>
    <row r="7">
      <c r="A7" s="5" t="inlineStr">
        <is>
          <t>Gestalt Institute Cleveland / Pittsburgh</t>
        </is>
      </c>
      <c r="B7" s="5" t="inlineStr">
        <is>
          <t>США</t>
        </is>
      </c>
      <c r="C7" s="5" t="inlineStr">
        <is>
          <t>Flagship / Advanced Certification.</t>
        </is>
      </c>
      <c r="D7" s="5" t="inlineStr">
        <is>
          <t>$$$ (по программе)</t>
        </is>
      </c>
      <c r="E7" s="5" t="inlineStr">
        <is>
          <t>—</t>
        </is>
      </c>
      <c r="F7" s="5" t="inlineStr">
        <is>
          <t>Очно/онлайн</t>
        </is>
      </c>
      <c r="G7" s="5" t="inlineStr">
        <is>
          <t>Флагман-модель; учиться упаковке «advanced».</t>
        </is>
      </c>
    </row>
    <row r="8">
      <c r="A8" s="5" t="inlineStr">
        <is>
          <t>Gestalt Italy</t>
        </is>
      </c>
      <c r="B8" s="5" t="inlineStr">
        <is>
          <t>Италия</t>
        </is>
      </c>
      <c r="C8" s="5" t="inlineStr">
        <is>
          <t>Обучение супервизоров (EAGT).</t>
        </is>
      </c>
      <c r="D8" s="5" t="inlineStr">
        <is>
          <t>€900 / семинар</t>
        </is>
      </c>
      <c r="E8" s="5" t="inlineStr">
        <is>
          <t>EAGT</t>
        </is>
      </c>
      <c r="F8" s="5" t="inlineStr">
        <is>
          <t>Семинары</t>
        </is>
      </c>
      <c r="G8" s="5" t="inlineStr">
        <is>
          <t>EAGT-часы как ценность — у МИГа есть; подать как факт.</t>
        </is>
      </c>
    </row>
    <row r="9">
      <c r="A9" s="5" t="inlineStr">
        <is>
          <t>GIS (Скандинавия)</t>
        </is>
      </c>
      <c r="B9" s="5" t="inlineStr">
        <is>
          <t>Дания</t>
        </is>
      </c>
      <c r="C9" s="5" t="inlineStr">
        <is>
          <t>4-летняя программа.</t>
        </is>
      </c>
      <c r="D9" s="5" t="inlineStr">
        <is>
          <t>рег. €670; ~€5 310 / год</t>
        </is>
      </c>
      <c r="E9" s="5" t="inlineStr">
        <is>
          <t>EAGT</t>
        </is>
      </c>
      <c r="F9" s="5" t="inlineStr">
        <is>
          <t>Модульно</t>
        </is>
      </c>
      <c r="G9" s="5" t="inlineStr">
        <is>
          <t>EU-годовой стоит дороже МИГа — аргумент «международно, но доступно».</t>
        </is>
      </c>
    </row>
    <row r="10">
      <c r="A10" s="5" t="inlineStr">
        <is>
          <t>Gestalt Foundation</t>
        </is>
      </c>
      <c r="B10" s="5" t="inlineStr">
        <is>
          <t>Греция</t>
        </is>
      </c>
      <c r="C10" s="5" t="inlineStr">
        <is>
          <t>4 года / 1450 ч, EAGT.</t>
        </is>
      </c>
      <c r="D10" s="5" t="inlineStr">
        <is>
          <t>(⚠ уточнить)</t>
        </is>
      </c>
      <c r="E10" s="5" t="inlineStr">
        <is>
          <t>EAGT</t>
        </is>
      </c>
      <c r="F10" s="5" t="inlineStr">
        <is>
          <t>Очно/онлайн</t>
        </is>
      </c>
      <c r="G10" s="5" t="inlineStr">
        <is>
          <t>Классическая длинная программа; МИГ — точечно и быстрее.</t>
        </is>
      </c>
    </row>
    <row r="11">
      <c r="A11" s="5" t="inlineStr">
        <is>
          <t>Bircham</t>
        </is>
      </c>
      <c r="B11" s="5" t="inlineStr">
        <is>
          <t>Онлайн (межд.)</t>
        </is>
      </c>
      <c r="C11" s="5" t="inlineStr">
        <is>
          <t>Дистанц. диплом.</t>
        </is>
      </c>
      <c r="D11" s="5" t="inlineStr">
        <is>
          <t>€1 050–1 470</t>
        </is>
      </c>
      <c r="E11" s="5" t="inlineStr">
        <is>
          <t>—</t>
        </is>
      </c>
      <c r="F11" s="5" t="inlineStr">
        <is>
          <t>Дистант</t>
        </is>
      </c>
      <c r="G11" s="5" t="inlineStr">
        <is>
          <t>«Бумажка без практики» — антипример; противопоставить живой практикой.</t>
        </is>
      </c>
    </row>
    <row r="13" ht="32" customHeight="1">
      <c r="A13" s="14" t="inlineStr">
        <is>
          <t>Белое пятно: русскоязычная мульти-специализация на кейсах с международным сертификатом «из любой точки» — ниша под диаспору в 50+ странах, которую западные институты (язык/цена) и RU-институты (локальность/одна тема) не закрывают.</t>
        </is>
      </c>
    </row>
  </sheetData>
  <mergeCells count="3">
    <mergeCell ref="A1:Z1"/>
    <mergeCell ref="A13:G13"/>
    <mergeCell ref="A2:Z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6" customWidth="1" min="4" max="4"/>
    <col width="28" customWidth="1" min="5" max="5"/>
    <col width="30" customWidth="1" min="6" max="6"/>
  </cols>
  <sheetData>
    <row r="1" ht="30" customHeight="1">
      <c r="A1" s="1" t="inlineStr">
        <is>
          <t>07 · Анализ цен для русскоязычной аудитории</t>
        </is>
      </c>
    </row>
    <row r="2" ht="28" customHeight="1">
      <c r="A2" s="2" t="inlineStr">
        <is>
          <t>Ценовые якоря рынка и место МИГа. Курс для ориентира: 1€ ≈ 100 ₽ (⚠ уточнить актуальный). Цель — обосновать премиум над фабриками ценностью, а не занижать цену.</t>
        </is>
      </c>
    </row>
    <row r="4" ht="26" customHeight="1">
      <c r="A4" s="4" t="inlineStr">
        <is>
          <t>Игрок / уровень</t>
        </is>
      </c>
      <c r="B4" s="4" t="inlineStr">
        <is>
          <t>Цена (валюта)</t>
        </is>
      </c>
      <c r="C4" s="4" t="inlineStr">
        <is>
          <t>≈ в €</t>
        </is>
      </c>
      <c r="D4" s="4" t="inlineStr">
        <is>
          <t>≈ в ₽</t>
        </is>
      </c>
      <c r="E4" s="4" t="inlineStr">
        <is>
          <t>Что покупают</t>
        </is>
      </c>
      <c r="F4" s="4" t="inlineStr">
        <is>
          <t>Позиция относительно МИГа</t>
        </is>
      </c>
    </row>
    <row r="5">
      <c r="A5" s="5" t="inlineStr">
        <is>
          <t>Фабрики (НАДПО и др.)</t>
        </is>
      </c>
      <c r="B5" s="5" t="inlineStr">
        <is>
          <t>15 000–104 000 ₽</t>
        </is>
      </c>
      <c r="C5" s="5" t="inlineStr">
        <is>
          <t>€150–1040</t>
        </is>
      </c>
      <c r="D5" s="5" t="inlineStr">
        <is>
          <t>15–104k ₽</t>
        </is>
      </c>
      <c r="E5" s="5" t="inlineStr">
        <is>
          <t>Диплом дистанционно, без практики</t>
        </is>
      </c>
      <c r="F5" s="5" t="inlineStr">
        <is>
          <t>Ниже. Дешёвый якорь — отстройка ценностью.</t>
        </is>
      </c>
    </row>
    <row r="6">
      <c r="A6" s="5" t="inlineStr">
        <is>
          <t>RU-институт: одна специализация</t>
        </is>
      </c>
      <c r="B6" s="5" t="inlineStr">
        <is>
          <t>десятки–сотни k₽ (⚠)</t>
        </is>
      </c>
      <c r="C6" s="5" t="inlineStr">
        <is>
          <t>€300–1500 (⚠)</t>
        </is>
      </c>
      <c r="D6" s="5" t="inlineStr">
        <is>
          <t>30–150k ₽ (⚠)</t>
        </is>
      </c>
      <c r="E6" s="5" t="inlineStr">
        <is>
          <t>Одна тема глубоко</t>
        </is>
      </c>
      <c r="F6" s="5" t="inlineStr">
        <is>
          <t>Сопоставимо за ОДНУ тему; МИГ даёт 16.</t>
        </is>
      </c>
    </row>
    <row r="7">
      <c r="A7" s="5" t="inlineStr">
        <is>
          <t>Pacific Gestalt (US)</t>
        </is>
      </c>
      <c r="B7" s="5" t="inlineStr">
        <is>
          <t>$2 300 + $400</t>
        </is>
      </c>
      <c r="C7" s="5" t="inlineStr">
        <is>
          <t>€2 500</t>
        </is>
      </c>
      <c r="D7" s="5" t="inlineStr">
        <is>
          <t>~250k ₽</t>
        </is>
      </c>
      <c r="E7" s="5" t="inlineStr">
        <is>
          <t>Weekend training + экзамен</t>
        </is>
      </c>
      <c r="F7" s="5" t="inlineStr">
        <is>
          <t>В той же лиге; МИГ шире по темам.</t>
        </is>
      </c>
    </row>
    <row r="8">
      <c r="A8" s="5" t="inlineStr">
        <is>
          <t>GIS Скандинавия (EU)</t>
        </is>
      </c>
      <c r="B8" s="5" t="inlineStr">
        <is>
          <t>~€5 310 / год</t>
        </is>
      </c>
      <c r="C8" s="5" t="inlineStr">
        <is>
          <t>€5 310</t>
        </is>
      </c>
      <c r="D8" s="5" t="inlineStr">
        <is>
          <t>~530k ₽</t>
        </is>
      </c>
      <c r="E8" s="5" t="inlineStr">
        <is>
          <t>EAGT годовая программа</t>
        </is>
      </c>
      <c r="F8" s="5" t="inlineStr">
        <is>
          <t>Дороже МИГа — аргумент «международно и доступнее».</t>
        </is>
      </c>
    </row>
    <row r="9">
      <c r="A9" s="5" t="inlineStr">
        <is>
          <t>МИГ «Слушатель»</t>
        </is>
      </c>
      <c r="B9" s="5" t="inlineStr">
        <is>
          <t>€399–499</t>
        </is>
      </c>
      <c r="C9" s="5" t="inlineStr">
        <is>
          <t>€399–499</t>
        </is>
      </c>
      <c r="D9" s="5" t="inlineStr">
        <is>
          <t>40–50k ₽</t>
        </is>
      </c>
      <c r="E9" s="5" t="inlineStr">
        <is>
          <t>Записи (трипвайр)</t>
        </is>
      </c>
      <c r="F9" s="5" t="inlineStr">
        <is>
          <t>Низкий вход — как у фабрик, но с содержанием.</t>
        </is>
      </c>
    </row>
    <row r="10">
      <c r="A10" s="5" t="inlineStr">
        <is>
          <t>МИГ «Практик» (рекоменд.)</t>
        </is>
      </c>
      <c r="B10" s="5" t="inlineStr">
        <is>
          <t>€999–1219</t>
        </is>
      </c>
      <c r="C10" s="5" t="inlineStr">
        <is>
          <t>€999–1219</t>
        </is>
      </c>
      <c r="D10" s="5" t="inlineStr">
        <is>
          <t>100–122k ₽</t>
        </is>
      </c>
      <c r="E10" s="5" t="inlineStr">
        <is>
          <t>Кейсы+супервизия+сертификат</t>
        </is>
      </c>
      <c r="F10" s="5" t="inlineStr">
        <is>
          <t>Ядро ценности; целевая маржа.</t>
        </is>
      </c>
    </row>
    <row r="11">
      <c r="A11" s="5" t="inlineStr">
        <is>
          <t>МИГ «Профессионал»</t>
        </is>
      </c>
      <c r="B11" s="5" t="inlineStr">
        <is>
          <t>€2149–2379</t>
        </is>
      </c>
      <c r="C11" s="5" t="inlineStr">
        <is>
          <t>€2149–2379</t>
        </is>
      </c>
      <c r="D11" s="5" t="inlineStr">
        <is>
          <t>215–238k ₽</t>
        </is>
      </c>
      <c r="E11" s="5" t="inlineStr">
        <is>
          <t>+инд.супервизия+«Цифровой гештальт»</t>
        </is>
      </c>
      <c r="F11" s="5" t="inlineStr">
        <is>
          <t>Премиум; сопоставим с US/EU, но 16 тем.</t>
        </is>
      </c>
    </row>
    <row r="13">
      <c r="A13" s="15" t="inlineStr">
        <is>
          <t>Рекомендации по цене:</t>
        </is>
      </c>
    </row>
    <row r="14">
      <c r="A14" s="11" t="inlineStr">
        <is>
          <t>1. Сначала ценность → потом цена. До показа €999+ «продать» результат (иначе фабрики топят восприятие).</t>
        </is>
      </c>
    </row>
    <row r="15">
      <c r="A15" s="11" t="inlineStr">
        <is>
          <t>2. Тарифная лесенка ясная: Слушатель — вход/трипвайр, Практик — рекомендуемый (маржа+ценность), Профессионал — премиум.</t>
        </is>
      </c>
    </row>
    <row r="16">
      <c r="A16" s="11" t="inlineStr">
        <is>
          <t>3. Early-bird как реальная срочность (факт-дедлайн), не «скидка/зачёркнуто» в инфобиз-стиле.</t>
        </is>
      </c>
    </row>
    <row r="17">
      <c r="A17" s="11" t="inlineStr">
        <is>
          <t>4. Показывать в € (аудитория в 50+ странах), ₽ — справочно; помодульная оплата — «попробовать».</t>
        </is>
      </c>
    </row>
    <row r="18">
      <c r="A18" s="11" t="inlineStr">
        <is>
          <t>5. Якорить вверх (US $2300 / EU €5310) — на их фоне «Практик» выглядит выгодно за 16 тем.</t>
        </is>
      </c>
    </row>
  </sheetData>
  <mergeCells count="8">
    <mergeCell ref="A16:F16"/>
    <mergeCell ref="A1:Z1"/>
    <mergeCell ref="A14:F14"/>
    <mergeCell ref="A13:F13"/>
    <mergeCell ref="A17:F17"/>
    <mergeCell ref="A18:F18"/>
    <mergeCell ref="A2:Z2"/>
    <mergeCell ref="A15:F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4" customWidth="1" min="3" max="3"/>
    <col width="34" customWidth="1" min="4" max="4"/>
  </cols>
  <sheetData>
    <row r="1" ht="30" customHeight="1">
      <c r="A1" s="1" t="inlineStr">
        <is>
          <t>08 · Юнит-экономика · бюджет рекламы · сроки</t>
        </is>
      </c>
    </row>
    <row r="2" ht="28" customHeight="1">
      <c r="A2" s="2" t="inlineStr">
        <is>
          <t>Сценарий-БАЗА (1 поток). Синие ячейки — вводные (меняйте). Жёлтые — проверить у МИГа / данными Ф0. Валюта — €. Модель пересчитывается автоматически.</t>
        </is>
      </c>
    </row>
    <row r="4">
      <c r="A4" s="3" t="inlineStr">
        <is>
          <t>A. Цены и микс тарифов (вводные)</t>
        </is>
      </c>
    </row>
    <row r="5" ht="26" customHeight="1">
      <c r="A5" s="4" t="inlineStr">
        <is>
          <t>Тариф</t>
        </is>
      </c>
      <c r="B5" s="4" t="inlineStr">
        <is>
          <t>Цена €</t>
        </is>
      </c>
      <c r="C5" s="4" t="inlineStr">
        <is>
          <t>Доля продаж %</t>
        </is>
      </c>
    </row>
    <row r="6">
      <c r="A6" s="16" t="inlineStr">
        <is>
          <t>Слушатель</t>
        </is>
      </c>
      <c r="B6" s="17" t="n">
        <v>499</v>
      </c>
      <c r="C6" s="18" t="n">
        <v>0.3</v>
      </c>
    </row>
    <row r="7">
      <c r="A7" s="16" t="inlineStr">
        <is>
          <t>Участник</t>
        </is>
      </c>
      <c r="B7" s="17" t="n">
        <v>679</v>
      </c>
      <c r="C7" s="18" t="n">
        <v>0.25</v>
      </c>
    </row>
    <row r="8">
      <c r="A8" s="16" t="inlineStr">
        <is>
          <t>Практик</t>
        </is>
      </c>
      <c r="B8" s="17" t="n">
        <v>1219</v>
      </c>
      <c r="C8" s="18" t="n">
        <v>0.3</v>
      </c>
    </row>
    <row r="9">
      <c r="A9" s="16" t="inlineStr">
        <is>
          <t>Профессионал</t>
        </is>
      </c>
      <c r="B9" s="17" t="n">
        <v>2379</v>
      </c>
      <c r="C9" s="18" t="n">
        <v>0.15</v>
      </c>
    </row>
    <row r="10">
      <c r="A10" s="19" t="inlineStr">
        <is>
          <t>Сумма долей (должна быть 100%)</t>
        </is>
      </c>
      <c r="C10" s="20">
        <f>SUM(C6:C9)</f>
        <v/>
      </c>
    </row>
    <row r="12">
      <c r="A12" s="3" t="inlineStr">
        <is>
          <t>B. Набор и себестоимость потока (вводные)</t>
        </is>
      </c>
    </row>
    <row r="13">
      <c r="A13" s="21" t="inlineStr">
        <is>
          <t>Целевой набор, чел. (все тарифы)</t>
        </is>
      </c>
      <c r="B13" s="22" t="n">
        <v>60</v>
      </c>
      <c r="C13" s="12" t="inlineStr">
        <is>
          <t>Цель одного потока. Ф0: согласовать с МИГом.</t>
        </is>
      </c>
    </row>
    <row r="14">
      <c r="A14" s="21" t="inlineStr">
        <is>
          <t>Гонорары: модули, €</t>
        </is>
      </c>
      <c r="B14" s="17" t="n">
        <v>4000</v>
      </c>
      <c r="C14" s="12" t="inlineStr">
        <is>
          <t>Из xlsx экономики МИГа.</t>
        </is>
      </c>
    </row>
    <row r="15">
      <c r="A15" s="21" t="inlineStr">
        <is>
          <t>Гонорары: супервизия случаев, €</t>
        </is>
      </c>
      <c r="B15" s="17" t="n">
        <v>4000</v>
      </c>
      <c r="C15" s="12" t="inlineStr">
        <is>
          <t>Из xlsx.</t>
        </is>
      </c>
    </row>
    <row r="16">
      <c r="A16" s="21" t="inlineStr">
        <is>
          <t>Гонорары: 4 инд. супервизии, €</t>
        </is>
      </c>
      <c r="B16" s="17" t="n">
        <v>2000</v>
      </c>
      <c r="C16" s="12" t="inlineStr">
        <is>
          <t>Из xlsx.</t>
        </is>
      </c>
    </row>
    <row r="17">
      <c r="A17" s="21" t="inlineStr">
        <is>
          <t>Платформа / админ / прочее, €</t>
        </is>
      </c>
      <c r="B17" s="17" t="n">
        <v>2000</v>
      </c>
      <c r="C17" s="12" t="inlineStr">
        <is>
          <t>Буфер (Zoom, координация). Уточнить.</t>
        </is>
      </c>
    </row>
    <row r="18">
      <c r="A18" s="23" t="inlineStr">
        <is>
          <t>Себестоимость потока (постоянная), €</t>
        </is>
      </c>
      <c r="B18" s="24">
        <f>SUM(B14:B17)</f>
        <v/>
      </c>
      <c r="C18" s="12" t="inlineStr">
        <is>
          <t>В пределах ёмкости не зависит от N.</t>
        </is>
      </c>
    </row>
    <row r="20">
      <c r="A20" s="3" t="inlineStr">
        <is>
          <t>C. Реклама и воронка (вводные — Ф0 подтвердит)</t>
        </is>
      </c>
    </row>
    <row r="21">
      <c r="A21" s="21" t="inlineStr">
        <is>
          <t>CPL — цена лида (9 лекций), €</t>
        </is>
      </c>
      <c r="B21" s="17" t="n">
        <v>2</v>
      </c>
      <c r="C21" s="12" t="inlineStr">
        <is>
          <t>Meta/VK, RU образование. Ф0: реальные данные.</t>
        </is>
      </c>
    </row>
    <row r="22">
      <c r="A22" s="21" t="inlineStr">
        <is>
          <t>Конверсия лид → оплата, %</t>
        </is>
      </c>
      <c r="B22" s="25" t="n">
        <v>0.03</v>
      </c>
      <c r="C22" s="12" t="inlineStr">
        <is>
          <t>Из бесплатных лекций в платный тариф. Валидировать.</t>
        </is>
      </c>
    </row>
    <row r="24">
      <c r="A24" s="3" t="inlineStr">
        <is>
          <t>D. Результаты (формулы)</t>
        </is>
      </c>
    </row>
    <row r="25">
      <c r="A25" s="23" t="inlineStr">
        <is>
          <t>Средний чек ARPU, €</t>
        </is>
      </c>
      <c r="B25" s="24">
        <f>SUMPRODUCT(B6:B9,C6:C9)</f>
        <v/>
      </c>
      <c r="C25" s="12" t="inlineStr">
        <is>
          <t>Средневзвешенно по миксу.</t>
        </is>
      </c>
    </row>
    <row r="26">
      <c r="A26" s="23" t="inlineStr">
        <is>
          <t>Выручка потока, €</t>
        </is>
      </c>
      <c r="B26" s="24">
        <f>B25*B13</f>
        <v/>
      </c>
      <c r="C26" s="12" t="inlineStr"/>
    </row>
    <row r="27">
      <c r="A27" s="23" t="inlineStr">
        <is>
          <t>Нужно лидов (набор ÷ конверсия)</t>
        </is>
      </c>
      <c r="B27" s="16">
        <f>B13/B22</f>
        <v/>
      </c>
      <c r="C27" s="12" t="inlineStr">
        <is>
          <t>Сколько регистраций на лекции нужно.</t>
        </is>
      </c>
    </row>
    <row r="28">
      <c r="A28" s="23" t="inlineStr">
        <is>
          <t>Бюджет рекламы, €</t>
        </is>
      </c>
      <c r="B28" s="24">
        <f>B27*B21</f>
        <v/>
      </c>
      <c r="C28" s="12" t="inlineStr"/>
    </row>
    <row r="29">
      <c r="A29" s="23" t="inlineStr">
        <is>
          <t>CAC — стоимость привлечения, €</t>
        </is>
      </c>
      <c r="B29" s="24">
        <f>B21/B22</f>
        <v/>
      </c>
      <c r="C29" s="12">
        <f> CPL ÷ конверсия.</f>
        <v/>
      </c>
    </row>
    <row r="30">
      <c r="A30" s="23" t="inlineStr">
        <is>
          <t>Валовая прибыль потока, €</t>
        </is>
      </c>
      <c r="B30" s="24">
        <f>B26-B18-B28</f>
        <v/>
      </c>
      <c r="C30" s="12" t="inlineStr"/>
    </row>
    <row r="31">
      <c r="A31" s="23" t="inlineStr">
        <is>
          <t>Маржа, %</t>
        </is>
      </c>
      <c r="B31" s="26">
        <f>B30/B26</f>
        <v/>
      </c>
      <c r="C31" s="12" t="inlineStr"/>
    </row>
    <row r="32">
      <c r="A32" s="23" t="inlineStr">
        <is>
          <t>ROAS (выручка ÷ реклама)</t>
        </is>
      </c>
      <c r="B32" s="27">
        <f>B26/B28</f>
        <v/>
      </c>
      <c r="C32" s="12" t="inlineStr"/>
    </row>
    <row r="33">
      <c r="A33" s="23" t="inlineStr">
        <is>
          <t>Доля рекламы в выручке, %</t>
        </is>
      </c>
      <c r="B33" s="26">
        <f>B28/B26</f>
        <v/>
      </c>
      <c r="C33" s="12" t="inlineStr"/>
    </row>
    <row r="34">
      <c r="A34" s="23" t="inlineStr">
        <is>
          <t>Точка безубыточности, чел.</t>
        </is>
      </c>
      <c r="B34" s="16">
        <f>ROUNDUP(B18/(B25-B29),0)</f>
        <v/>
      </c>
      <c r="C34" s="12" t="inlineStr">
        <is>
          <t>Сколько оплат покрывают постоянные расходы.</t>
        </is>
      </c>
    </row>
    <row r="36" ht="30" customHeight="1">
      <c r="A36" s="28" t="inlineStr">
        <is>
          <t>⚠ CPL и конверсия — ключевые допущения. Реальные значения даст Ф0 (старые кампании). При CPL €2 и конв. 3% модель здоровая; при CPL €4 / конв. 2% — пересобрать бюджет.</t>
        </is>
      </c>
    </row>
    <row r="38">
      <c r="A38" s="3" t="inlineStr">
        <is>
          <t>E. Сроки реализации (недели от старта работ)</t>
        </is>
      </c>
    </row>
    <row r="39" ht="26" customHeight="1">
      <c r="A39" s="4" t="inlineStr">
        <is>
          <t>Фаза</t>
        </is>
      </c>
      <c r="B39" s="4" t="inlineStr">
        <is>
          <t>Что делаем</t>
        </is>
      </c>
      <c r="C39" s="4" t="inlineStr">
        <is>
          <t>Длит., нед.</t>
        </is>
      </c>
      <c r="D39" s="4" t="inlineStr">
        <is>
          <t>Комментарий</t>
        </is>
      </c>
    </row>
    <row r="40">
      <c r="A40" s="5" t="inlineStr">
        <is>
          <t>Ф0 · Аудит и данные</t>
        </is>
      </c>
      <c r="B40" s="5" t="inlineStr">
        <is>
          <t>Старые креативы+метрики, аналитика ленда, цели/бюджет.</t>
        </is>
      </c>
      <c r="C40" s="5" t="inlineStr">
        <is>
          <t>1</t>
        </is>
      </c>
      <c r="D40" s="5" t="inlineStr">
        <is>
          <t>Ждём доступы от МИГа.</t>
        </is>
      </c>
    </row>
    <row r="41">
      <c r="A41" s="5" t="inlineStr">
        <is>
          <t>Ф1 · Исследование</t>
        </is>
      </c>
      <c r="B41" s="5" t="inlineStr">
        <is>
          <t>Касдев 10–15 интервью, рынок/конкуренты, опрос.</t>
        </is>
      </c>
      <c r="C41" s="5" t="inlineStr">
        <is>
          <t>2–3</t>
        </is>
      </c>
      <c r="D41" s="5" t="inlineStr">
        <is>
          <t>Параллельно с Ф0.</t>
        </is>
      </c>
    </row>
    <row r="42">
      <c r="A42" s="5" t="inlineStr">
        <is>
          <t>Ф2 · Стратегия</t>
        </is>
      </c>
      <c r="B42" s="5" t="inlineStr">
        <is>
          <t>Позиционирование, оффер, цена, имя.</t>
        </is>
      </c>
      <c r="C42" s="5" t="inlineStr">
        <is>
          <t>1</t>
        </is>
      </c>
      <c r="D42" s="5" t="inlineStr">
        <is>
          <t>Черновик v0.2 готов.</t>
        </is>
      </c>
    </row>
    <row r="43">
      <c r="A43" s="5" t="inlineStr">
        <is>
          <t>Ф3 · Ребрендинг + лендинг</t>
        </is>
      </c>
      <c r="B43" s="5" t="inlineStr">
        <is>
          <t>Айдентика программы, сборка/верстка лендинга.</t>
        </is>
      </c>
      <c r="C43" s="5" t="inlineStr">
        <is>
          <t>2–3</t>
        </is>
      </c>
      <c r="D43" s="5" t="inlineStr">
        <is>
          <t>Прототип готов.</t>
        </is>
      </c>
    </row>
    <row r="44">
      <c r="A44" s="5" t="inlineStr">
        <is>
          <t>Ф4 · Воронка</t>
        </is>
      </c>
      <c r="B44" s="5" t="inlineStr">
        <is>
          <t>Лид-магнит (есть), прогрев, письма, ретаргет.</t>
        </is>
      </c>
      <c r="C44" s="5" t="inlineStr">
        <is>
          <t>1–2</t>
        </is>
      </c>
      <c r="D44" s="5" t="inlineStr">
        <is>
          <t>9 лекций уже есть.</t>
        </is>
      </c>
    </row>
    <row r="45">
      <c r="A45" s="5" t="inlineStr">
        <is>
          <t>Ф5 · Креативы + запуск</t>
        </is>
      </c>
      <c r="B45" s="5" t="inlineStr">
        <is>
          <t>FB/VK креативы, тестовая сетка, оптимизация.</t>
        </is>
      </c>
      <c r="C45" s="5" t="inlineStr">
        <is>
          <t>2 + открутка</t>
        </is>
      </c>
      <c r="D45" s="5" t="inlineStr">
        <is>
          <t>Тест перед масштабированием.</t>
        </is>
      </c>
    </row>
    <row r="46">
      <c r="A46" s="5" t="inlineStr">
        <is>
          <t>Ф6 · Аналитика / итерация</t>
        </is>
      </c>
      <c r="B46" s="5" t="inlineStr">
        <is>
          <t>Дашборд CPL/CAC, окупаемость, итерации.</t>
        </is>
      </c>
      <c r="C46" s="5" t="inlineStr">
        <is>
          <t>постоянно</t>
        </is>
      </c>
      <c r="D46" s="5" t="inlineStr">
        <is>
          <t>Еженедельно.</t>
        </is>
      </c>
    </row>
    <row r="48" ht="30" customHeight="1">
      <c r="A48" s="14" t="inlineStr">
        <is>
          <t>Итого до запуска рекламы: ориентировочно 6–8 недель при своевременных вводных от МИГа (Ф0/Ф1 — критический путь). Даты привяжем к старту потока (5 октября).</t>
        </is>
      </c>
    </row>
    <row r="50">
      <c r="A50" s="29" t="inlineStr">
        <is>
          <t>Снимок при БАЗОВЫХ вводных (справочно; при открытии в Excel/Sheets формулы пересчитаются точно):</t>
        </is>
      </c>
    </row>
    <row r="51">
      <c r="A51" s="30" t="inlineStr">
        <is>
          <t>ARPU (средний чек)</t>
        </is>
      </c>
      <c r="B51" s="31" t="inlineStr">
        <is>
          <t>€1 042</t>
        </is>
      </c>
    </row>
    <row r="52">
      <c r="A52" s="30" t="inlineStr">
        <is>
          <t>Выручка потока</t>
        </is>
      </c>
      <c r="B52" s="31" t="inlineStr">
        <is>
          <t>€62 520</t>
        </is>
      </c>
    </row>
    <row r="53">
      <c r="A53" s="30" t="inlineStr">
        <is>
          <t>Себестоимость потока</t>
        </is>
      </c>
      <c r="B53" s="31" t="inlineStr">
        <is>
          <t>€12 000</t>
        </is>
      </c>
    </row>
    <row r="54">
      <c r="A54" s="30" t="inlineStr">
        <is>
          <t>Нужно лидов (60 ÷ 3%)</t>
        </is>
      </c>
      <c r="B54" s="31" t="inlineStr">
        <is>
          <t>2 000</t>
        </is>
      </c>
    </row>
    <row r="55">
      <c r="A55" s="30" t="inlineStr">
        <is>
          <t>Бюджет рекламы</t>
        </is>
      </c>
      <c r="B55" s="31" t="inlineStr">
        <is>
          <t>€4 000</t>
        </is>
      </c>
    </row>
    <row r="56">
      <c r="A56" s="30" t="inlineStr">
        <is>
          <t>CAC</t>
        </is>
      </c>
      <c r="B56" s="31" t="inlineStr">
        <is>
          <t>€67</t>
        </is>
      </c>
    </row>
    <row r="57">
      <c r="A57" s="30" t="inlineStr">
        <is>
          <t>Валовая прибыль</t>
        </is>
      </c>
      <c r="B57" s="31" t="inlineStr">
        <is>
          <t>€46 520</t>
        </is>
      </c>
    </row>
    <row r="58">
      <c r="A58" s="30" t="inlineStr">
        <is>
          <t>Маржа</t>
        </is>
      </c>
      <c r="B58" s="31" t="inlineStr">
        <is>
          <t>74%</t>
        </is>
      </c>
    </row>
    <row r="59">
      <c r="A59" s="30" t="inlineStr">
        <is>
          <t>ROAS</t>
        </is>
      </c>
      <c r="B59" s="31" t="inlineStr">
        <is>
          <t>15.6x</t>
        </is>
      </c>
    </row>
    <row r="60">
      <c r="A60" s="30" t="inlineStr">
        <is>
          <t>Точка безубыточности</t>
        </is>
      </c>
      <c r="B60" s="31" t="inlineStr">
        <is>
          <t>13 чел.</t>
        </is>
      </c>
    </row>
  </sheetData>
  <mergeCells count="5">
    <mergeCell ref="A36:C36"/>
    <mergeCell ref="A1:Z1"/>
    <mergeCell ref="A48:D48"/>
    <mergeCell ref="A2:Z2"/>
    <mergeCell ref="A50:C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2026-08-06T05:58:54Z</dcterms:created>
  <dcterms:modified xsi:type="dcterms:W3CDTF">2026-08-06T06:16:59Z</dcterms:modified>
</cp:coreProperties>
</file>